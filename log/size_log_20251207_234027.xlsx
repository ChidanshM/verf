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da\0zProject\verf\log\"/>
    </mc:Choice>
  </mc:AlternateContent>
  <xr:revisionPtr revIDLastSave="0" documentId="13_ncr:9_{6E1F79AB-615A-4B9A-8947-5E74118BDAFC}" xr6:coauthVersionLast="47" xr6:coauthVersionMax="47" xr10:uidLastSave="{00000000-0000-0000-0000-000000000000}"/>
  <bookViews>
    <workbookView xWindow="-110" yWindow="-110" windowWidth="25820" windowHeight="15500" xr2:uid="{1A0A2838-7DCF-4C7E-89FF-9596046679C9}"/>
  </bookViews>
  <sheets>
    <sheet name="size_log_20251207_234027" sheetId="1" r:id="rId1"/>
  </sheets>
  <calcPr calcId="0"/>
</workbook>
</file>

<file path=xl/calcChain.xml><?xml version="1.0" encoding="utf-8"?>
<calcChain xmlns="http://schemas.openxmlformats.org/spreadsheetml/2006/main">
  <c r="R46" i="1" l="1"/>
  <c r="N46" i="1"/>
  <c r="R45" i="1"/>
  <c r="T44" i="1"/>
  <c r="S44" i="1"/>
  <c r="R44" i="1"/>
  <c r="T43" i="1"/>
  <c r="S43" i="1"/>
  <c r="R43" i="1"/>
  <c r="T42" i="1"/>
  <c r="S42" i="1"/>
  <c r="R42" i="1"/>
  <c r="T41" i="1"/>
  <c r="S41" i="1"/>
  <c r="R41" i="1"/>
  <c r="T40" i="1"/>
  <c r="S40" i="1"/>
  <c r="R40" i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T34" i="1"/>
  <c r="S34" i="1"/>
  <c r="R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T28" i="1"/>
  <c r="S28" i="1"/>
  <c r="R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T22" i="1"/>
  <c r="S22" i="1"/>
  <c r="R22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T16" i="1"/>
  <c r="S16" i="1"/>
  <c r="R16" i="1"/>
  <c r="T15" i="1"/>
  <c r="S15" i="1"/>
  <c r="R15" i="1"/>
  <c r="T14" i="1"/>
  <c r="S14" i="1"/>
  <c r="R14" i="1"/>
  <c r="T13" i="1"/>
  <c r="S13" i="1"/>
  <c r="R13" i="1"/>
  <c r="T12" i="1"/>
  <c r="S12" i="1"/>
  <c r="R12" i="1"/>
  <c r="T11" i="1"/>
  <c r="S11" i="1"/>
  <c r="R11" i="1"/>
  <c r="T10" i="1"/>
  <c r="S10" i="1"/>
  <c r="R10" i="1"/>
  <c r="T9" i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T4" i="1"/>
  <c r="S4" i="1"/>
  <c r="R4" i="1"/>
  <c r="T3" i="1"/>
  <c r="S3" i="1"/>
  <c r="R3" i="1"/>
  <c r="S2" i="1"/>
  <c r="T2" i="1"/>
  <c r="R2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2" i="1" s="1"/>
  <c r="L2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H28" i="1"/>
  <c r="G28" i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H20" i="1"/>
  <c r="G20" i="1"/>
  <c r="G19" i="1"/>
  <c r="H19" i="1" s="1"/>
  <c r="G18" i="1"/>
  <c r="H18" i="1" s="1"/>
  <c r="H17" i="1"/>
  <c r="G17" i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H4" i="1"/>
  <c r="G4" i="1"/>
  <c r="G3" i="1"/>
  <c r="H3" i="1" s="1"/>
  <c r="H2" i="1"/>
  <c r="G2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<sst xmlns="http://schemas.openxmlformats.org/spreadsheetml/2006/main" count="96" uniqueCount="93">
  <si>
    <t>Original</t>
  </si>
  <si>
    <t>Orig_Bytes</t>
  </si>
  <si>
    <t>Processed</t>
  </si>
  <si>
    <t>Proc_Bytes</t>
  </si>
  <si>
    <t>S001_G01_D01_B01_T01.csv</t>
  </si>
  <si>
    <t>S001_G01_D01_B01_T01-raw_targets.csv</t>
  </si>
  <si>
    <t>S001_G01_D01_B01_T02.csv</t>
  </si>
  <si>
    <t>S001_G01_D01_B01_T02-raw_targets.csv</t>
  </si>
  <si>
    <t>S001_G01_D01_B01_T03.csv</t>
  </si>
  <si>
    <t>S001_G01_D01_B01_T03-raw_targets.csv</t>
  </si>
  <si>
    <t>S001_G01_D01_B02_T01.csv</t>
  </si>
  <si>
    <t>S001_G01_D01_B02_T01-raw_targets.csv</t>
  </si>
  <si>
    <t>S001_G01_D01_B02_T02.csv</t>
  </si>
  <si>
    <t>S001_G01_D01_B02_T02-raw_targets.csv</t>
  </si>
  <si>
    <t>S001_G01_D01_B02_T03.csv</t>
  </si>
  <si>
    <t>S001_G01_D01_B02_T03-raw_targets.csv</t>
  </si>
  <si>
    <t>S001_G01_D01_B03_T01.csv</t>
  </si>
  <si>
    <t>S001_G01_D01_B03_T01-raw_targets.csv</t>
  </si>
  <si>
    <t>S001_G01_D01_B03_T02.csv</t>
  </si>
  <si>
    <t>S001_G01_D01_B03_T02-raw_targets.csv</t>
  </si>
  <si>
    <t>S001_G01_D01_B03_T03.csv</t>
  </si>
  <si>
    <t>S001_G01_D01_B03_T03-raw_targets.csv</t>
  </si>
  <si>
    <t>S001_G01_D02_B01_T01.csv</t>
  </si>
  <si>
    <t>S001_G01_D02_B01_T01-raw_targets.csv</t>
  </si>
  <si>
    <t>S001_G01_D02_B01_T02.csv</t>
  </si>
  <si>
    <t>S001_G01_D02_B01_T02-raw_targets.csv</t>
  </si>
  <si>
    <t>S001_G01_D02_B01_T03.csv</t>
  </si>
  <si>
    <t>S001_G01_D02_B01_T03-raw_targets.csv</t>
  </si>
  <si>
    <t>S001_G01_D02_B02_T01.csv</t>
  </si>
  <si>
    <t>S001_G01_D02_B02_T01-raw_targets.csv</t>
  </si>
  <si>
    <t>S001_G01_D02_B02_T02.csv</t>
  </si>
  <si>
    <t>S001_G01_D02_B02_T02-raw_targets.csv</t>
  </si>
  <si>
    <t>S001_G01_D02_B02_T03.csv</t>
  </si>
  <si>
    <t>S001_G01_D02_B02_T03-raw_targets.csv</t>
  </si>
  <si>
    <t>S001_G01_D02_B03_T01.csv</t>
  </si>
  <si>
    <t>S001_G01_D02_B03_T01-raw_targets.csv</t>
  </si>
  <si>
    <t>S001_G01_D02_B03_T02.csv</t>
  </si>
  <si>
    <t>S001_G01_D02_B03_T02-raw_targets.csv</t>
  </si>
  <si>
    <t>S001_G01_D02_B03_T03.csv</t>
  </si>
  <si>
    <t>S001_G01_D02_B03_T03-raw_targets.csv</t>
  </si>
  <si>
    <t>S002_G01_D01_B01_T01.csv</t>
  </si>
  <si>
    <t>S002_G01_D01_B01_T01-raw_targets.csv</t>
  </si>
  <si>
    <t>S002_G01_D01_B01_T02.csv</t>
  </si>
  <si>
    <t>S002_G01_D01_B01_T02-raw_targets.csv</t>
  </si>
  <si>
    <t>S002_G01_D01_B01_T03.csv</t>
  </si>
  <si>
    <t>S002_G01_D01_B01_T03-raw_targets.csv</t>
  </si>
  <si>
    <t>S002_G01_D01_B02_T01.csv</t>
  </si>
  <si>
    <t>S002_G01_D01_B02_T01-raw_targets.csv</t>
  </si>
  <si>
    <t>S002_G01_D01_B02_T02.csv</t>
  </si>
  <si>
    <t>S002_G01_D01_B02_T02-raw_targets.csv</t>
  </si>
  <si>
    <t>S002_G01_D01_B02_T03.csv</t>
  </si>
  <si>
    <t>S002_G01_D01_B02_T03-raw_targets.csv</t>
  </si>
  <si>
    <t>S002_G01_D01_B03_T01.csv</t>
  </si>
  <si>
    <t>S002_G01_D01_B03_T01-raw_targets.csv</t>
  </si>
  <si>
    <t>S002_G01_D01_B03_T02.csv</t>
  </si>
  <si>
    <t>S002_G01_D01_B03_T02-raw_targets.csv</t>
  </si>
  <si>
    <t>S002_G01_D01_B03_T03.csv</t>
  </si>
  <si>
    <t>S002_G01_D01_B03_T03-raw_targets.csv</t>
  </si>
  <si>
    <t>S002_G01_D02_B01_T01.csv</t>
  </si>
  <si>
    <t>S002_G01_D02_B01_T01-raw_targets.csv</t>
  </si>
  <si>
    <t>S002_G01_D02_B01_T02.csv</t>
  </si>
  <si>
    <t>S002_G01_D02_B01_T02-raw_targets.csv</t>
  </si>
  <si>
    <t>S002_G01_D02_B01_T03.csv</t>
  </si>
  <si>
    <t>S002_G01_D02_B01_T03-raw_targets.csv</t>
  </si>
  <si>
    <t>S002_G01_D02_B02_T01.csv</t>
  </si>
  <si>
    <t>S002_G01_D02_B02_T01-raw_targets.csv</t>
  </si>
  <si>
    <t>S002_G01_D02_B02_T02.csv</t>
  </si>
  <si>
    <t>S002_G01_D02_B02_T02-raw_targets.csv</t>
  </si>
  <si>
    <t>S002_G01_D02_B02_T03.csv</t>
  </si>
  <si>
    <t>S002_G01_D02_B02_T03-raw_targets.csv</t>
  </si>
  <si>
    <t>S002_G01_D02_B03_T01.csv</t>
  </si>
  <si>
    <t>S002_G01_D02_B03_T01-raw_targets.csv</t>
  </si>
  <si>
    <t>S002_G01_D02_B03_T02.csv</t>
  </si>
  <si>
    <t>S002_G01_D02_B03_T02-raw_targets.csv</t>
  </si>
  <si>
    <t>S002_G01_D02_B03_T03.csv</t>
  </si>
  <si>
    <t>S002_G01_D02_B03_T03-raw_targets.csv</t>
  </si>
  <si>
    <t>S003_G01_D01_B01_T01.csv</t>
  </si>
  <si>
    <t>S003_G01_D01_B01_T01-raw_targets.csv</t>
  </si>
  <si>
    <t>S003_G01_D01_B01_T02.csv</t>
  </si>
  <si>
    <t>S003_G01_D01_B01_T02-raw_targets.csv</t>
  </si>
  <si>
    <t>S003_G01_D01_B01_T03.csv</t>
  </si>
  <si>
    <t>S003_G01_D01_B01_T03-raw_targets.csv</t>
  </si>
  <si>
    <t>S003_G01_D01_B02_T01.csv</t>
  </si>
  <si>
    <t>S003_G01_D01_B02_T01-raw_targets.csv</t>
  </si>
  <si>
    <t>S003_G01_D01_B02_T02.csv</t>
  </si>
  <si>
    <t>S003_G01_D01_B02_T02-raw_targets.csv</t>
  </si>
  <si>
    <t>S003_G01_D01_B02_T03.csv</t>
  </si>
  <si>
    <t>S003_G01_D01_B02_T03-raw_targets.csv</t>
  </si>
  <si>
    <t>S003_G01_D01_B03_T01.csv</t>
  </si>
  <si>
    <t>S003_G01_D01_B03_T01-raw_targets.csv</t>
  </si>
  <si>
    <t>B</t>
  </si>
  <si>
    <t>KB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</si>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</sst>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EE75-BB21-4DF5-9584-5E5B0C00C364}">
  <dimension ref="A1:T46"/>
  <sheetViews>
    <sheetView tabSelected="1" workbookViewId="0">
      <selection activeCell="R46" sqref="R46"/>
    </sheetView>
  </sheetViews>
  <sheetFormatPr defaultRowHeight="14.5" x14ac:dyDescent="0.35"/>
  <cols>
    <col min="2" max="2" width="10.54296875" customWidth="1"/>
    <col min="6" max="6" width="9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F1" t="s">
        <v>90</v>
      </c>
      <c r="G1" t="s">
        <v>91</v>
      </c>
      <c r="H1" t="s">
        <v>92</v>
      </c>
      <c r="J1" t="s">
        <v>90</v>
      </c>
      <c r="K1" t="s">
        <v>91</v>
      </c>
      <c r="L1" t="s">
        <v>92</v>
      </c>
    </row>
    <row r="2" spans="1:20" x14ac:dyDescent="0.35">
      <c r="A2" t="s">
        <v>4</v>
      </c>
      <c r="B2">
        <v>182385536</v>
      </c>
      <c r="C2" t="s">
        <v>5</v>
      </c>
      <c r="D2">
        <v>10753932</v>
      </c>
      <c r="F2">
        <f>B2</f>
        <v>182385536</v>
      </c>
      <c r="G2">
        <f>F2/1024</f>
        <v>178110.875</v>
      </c>
      <c r="H2">
        <f>G2/1024</f>
        <v>173.9364013671875</v>
      </c>
      <c r="J2">
        <f>D2</f>
        <v>10753932</v>
      </c>
      <c r="K2">
        <f>J2/1024</f>
        <v>10501.88671875</v>
      </c>
      <c r="L2">
        <f>K2/1024</f>
        <v>10.255748748779297</v>
      </c>
      <c r="N2">
        <f>F2/J2</f>
        <v>16.959892995417864</v>
      </c>
      <c r="O2">
        <f>G2/K2</f>
        <v>16.959892995417864</v>
      </c>
      <c r="P2">
        <f>H2/L2</f>
        <v>16.959892995417864</v>
      </c>
      <c r="R2">
        <f>J2/F2</f>
        <v>5.8962636159920048E-2</v>
      </c>
      <c r="S2">
        <f>K2/G2</f>
        <v>5.8962636159920048E-2</v>
      </c>
      <c r="T2">
        <f>L2/H2</f>
        <v>5.8962636159920048E-2</v>
      </c>
    </row>
    <row r="3" spans="1:20" x14ac:dyDescent="0.35">
      <c r="A3" t="s">
        <v>6</v>
      </c>
      <c r="B3">
        <v>182390121</v>
      </c>
      <c r="C3" t="s">
        <v>7</v>
      </c>
      <c r="D3">
        <v>10760210</v>
      </c>
      <c r="F3">
        <f t="shared" ref="F3:F44" si="0">B3</f>
        <v>182390121</v>
      </c>
      <c r="G3">
        <f t="shared" ref="G3:H3" si="1">F3/1024</f>
        <v>178115.3525390625</v>
      </c>
      <c r="H3">
        <f t="shared" si="1"/>
        <v>173.94077396392822</v>
      </c>
      <c r="J3">
        <f t="shared" ref="J3:J44" si="2">D3</f>
        <v>10760210</v>
      </c>
      <c r="K3">
        <f t="shared" ref="K3:L3" si="3">J3/1024</f>
        <v>10508.017578125</v>
      </c>
      <c r="L3">
        <f t="shared" si="3"/>
        <v>10.261735916137695</v>
      </c>
      <c r="N3">
        <f t="shared" ref="N3:N44" si="4">F3/J3</f>
        <v>16.950423922953178</v>
      </c>
      <c r="O3">
        <f t="shared" ref="O3:O44" si="5">G3/K3</f>
        <v>16.950423922953178</v>
      </c>
      <c r="P3">
        <f t="shared" ref="P3:P44" si="6">H3/L3</f>
        <v>16.950423922953178</v>
      </c>
      <c r="R3">
        <f t="shared" ref="R3:R44" si="7">J3/F3</f>
        <v>5.8995574656151469E-2</v>
      </c>
      <c r="S3">
        <f t="shared" ref="S3:S44" si="8">K3/G3</f>
        <v>5.8995574656151469E-2</v>
      </c>
      <c r="T3">
        <f t="shared" ref="T3:T44" si="9">L3/H3</f>
        <v>5.8995574656151469E-2</v>
      </c>
    </row>
    <row r="4" spans="1:20" x14ac:dyDescent="0.35">
      <c r="A4" t="s">
        <v>8</v>
      </c>
      <c r="B4">
        <v>182527925</v>
      </c>
      <c r="C4" t="s">
        <v>9</v>
      </c>
      <c r="D4">
        <v>10766184</v>
      </c>
      <c r="F4">
        <f t="shared" si="0"/>
        <v>182527925</v>
      </c>
      <c r="G4">
        <f t="shared" ref="G4:H4" si="10">F4/1024</f>
        <v>178249.9267578125</v>
      </c>
      <c r="H4">
        <f t="shared" si="10"/>
        <v>174.07219409942627</v>
      </c>
      <c r="J4">
        <f t="shared" si="2"/>
        <v>10766184</v>
      </c>
      <c r="K4">
        <f t="shared" ref="K4:L4" si="11">J4/1024</f>
        <v>10513.8515625</v>
      </c>
      <c r="L4">
        <f t="shared" si="11"/>
        <v>10.267433166503906</v>
      </c>
      <c r="N4">
        <f t="shared" si="4"/>
        <v>16.953818084476357</v>
      </c>
      <c r="O4">
        <f t="shared" si="5"/>
        <v>16.953818084476357</v>
      </c>
      <c r="P4">
        <f t="shared" si="6"/>
        <v>16.953818084476357</v>
      </c>
      <c r="R4">
        <f t="shared" si="7"/>
        <v>5.8983763717250386E-2</v>
      </c>
      <c r="S4">
        <f t="shared" si="8"/>
        <v>5.8983763717250386E-2</v>
      </c>
      <c r="T4">
        <f t="shared" si="9"/>
        <v>5.8983763717250386E-2</v>
      </c>
    </row>
    <row r="5" spans="1:20" x14ac:dyDescent="0.35">
      <c r="A5" t="s">
        <v>10</v>
      </c>
      <c r="B5">
        <v>182580738</v>
      </c>
      <c r="C5" t="s">
        <v>11</v>
      </c>
      <c r="D5">
        <v>10784260</v>
      </c>
      <c r="F5">
        <f t="shared" si="0"/>
        <v>182580738</v>
      </c>
      <c r="G5">
        <f t="shared" ref="G5:H5" si="12">F5/1024</f>
        <v>178301.501953125</v>
      </c>
      <c r="H5">
        <f t="shared" si="12"/>
        <v>174.12256050109863</v>
      </c>
      <c r="J5">
        <f t="shared" si="2"/>
        <v>10784260</v>
      </c>
      <c r="K5">
        <f t="shared" ref="K5:L5" si="13">J5/1024</f>
        <v>10531.50390625</v>
      </c>
      <c r="L5">
        <f t="shared" si="13"/>
        <v>10.284671783447266</v>
      </c>
      <c r="N5">
        <f t="shared" si="4"/>
        <v>16.930298230940277</v>
      </c>
      <c r="O5">
        <f t="shared" si="5"/>
        <v>16.930298230940277</v>
      </c>
      <c r="P5">
        <f t="shared" si="6"/>
        <v>16.930298230940277</v>
      </c>
      <c r="R5">
        <f t="shared" si="7"/>
        <v>5.9065704948569109E-2</v>
      </c>
      <c r="S5">
        <f t="shared" si="8"/>
        <v>5.9065704948569109E-2</v>
      </c>
      <c r="T5">
        <f t="shared" si="9"/>
        <v>5.9065704948569109E-2</v>
      </c>
    </row>
    <row r="6" spans="1:20" x14ac:dyDescent="0.35">
      <c r="A6" t="s">
        <v>12</v>
      </c>
      <c r="B6">
        <v>182686569</v>
      </c>
      <c r="C6" t="s">
        <v>13</v>
      </c>
      <c r="D6">
        <v>10766299</v>
      </c>
      <c r="F6">
        <f t="shared" si="0"/>
        <v>182686569</v>
      </c>
      <c r="G6">
        <f t="shared" ref="G6:H6" si="14">F6/1024</f>
        <v>178404.8525390625</v>
      </c>
      <c r="H6">
        <f t="shared" si="14"/>
        <v>174.22348880767822</v>
      </c>
      <c r="J6">
        <f t="shared" si="2"/>
        <v>10766299</v>
      </c>
      <c r="K6">
        <f t="shared" ref="K6:L6" si="15">J6/1024</f>
        <v>10513.9638671875</v>
      </c>
      <c r="L6">
        <f t="shared" si="15"/>
        <v>10.267542839050293</v>
      </c>
      <c r="N6">
        <f t="shared" si="4"/>
        <v>16.968372232649308</v>
      </c>
      <c r="O6">
        <f t="shared" si="5"/>
        <v>16.968372232649308</v>
      </c>
      <c r="P6">
        <f t="shared" si="6"/>
        <v>16.968372232649308</v>
      </c>
      <c r="R6">
        <f t="shared" si="7"/>
        <v>5.8933172038498356E-2</v>
      </c>
      <c r="S6">
        <f t="shared" si="8"/>
        <v>5.8933172038498356E-2</v>
      </c>
      <c r="T6">
        <f t="shared" si="9"/>
        <v>5.8933172038498356E-2</v>
      </c>
    </row>
    <row r="7" spans="1:20" x14ac:dyDescent="0.35">
      <c r="A7" t="s">
        <v>14</v>
      </c>
      <c r="B7">
        <v>182367874</v>
      </c>
      <c r="C7" t="s">
        <v>15</v>
      </c>
      <c r="D7">
        <v>10781745</v>
      </c>
      <c r="F7">
        <f t="shared" si="0"/>
        <v>182367874</v>
      </c>
      <c r="G7">
        <f t="shared" ref="G7:H7" si="16">F7/1024</f>
        <v>178093.626953125</v>
      </c>
      <c r="H7">
        <f t="shared" si="16"/>
        <v>173.91955757141113</v>
      </c>
      <c r="J7">
        <f t="shared" si="2"/>
        <v>10781745</v>
      </c>
      <c r="K7">
        <f t="shared" ref="K7:L7" si="17">J7/1024</f>
        <v>10529.0478515625</v>
      </c>
      <c r="L7">
        <f t="shared" si="17"/>
        <v>10.282273292541504</v>
      </c>
      <c r="N7">
        <f t="shared" si="4"/>
        <v>16.914504470287508</v>
      </c>
      <c r="O7">
        <f t="shared" si="5"/>
        <v>16.914504470287508</v>
      </c>
      <c r="P7">
        <f t="shared" si="6"/>
        <v>16.914504470287508</v>
      </c>
      <c r="R7">
        <f t="shared" si="7"/>
        <v>5.9120856999188356E-2</v>
      </c>
      <c r="S7">
        <f t="shared" si="8"/>
        <v>5.9120856999188356E-2</v>
      </c>
      <c r="T7">
        <f t="shared" si="9"/>
        <v>5.9120856999188356E-2</v>
      </c>
    </row>
    <row r="8" spans="1:20" x14ac:dyDescent="0.35">
      <c r="A8" t="s">
        <v>16</v>
      </c>
      <c r="B8">
        <v>182478785</v>
      </c>
      <c r="C8" t="s">
        <v>17</v>
      </c>
      <c r="D8">
        <v>10781267</v>
      </c>
      <c r="F8">
        <f t="shared" si="0"/>
        <v>182478785</v>
      </c>
      <c r="G8">
        <f t="shared" ref="G8:H8" si="18">F8/1024</f>
        <v>178201.9384765625</v>
      </c>
      <c r="H8">
        <f t="shared" si="18"/>
        <v>174.02533054351807</v>
      </c>
      <c r="J8">
        <f t="shared" si="2"/>
        <v>10781267</v>
      </c>
      <c r="K8">
        <f t="shared" ref="K8:L8" si="19">J8/1024</f>
        <v>10528.5810546875</v>
      </c>
      <c r="L8">
        <f t="shared" si="19"/>
        <v>10.281817436218262</v>
      </c>
      <c r="N8">
        <f t="shared" si="4"/>
        <v>16.925541775377607</v>
      </c>
      <c r="O8">
        <f t="shared" si="5"/>
        <v>16.925541775377607</v>
      </c>
      <c r="P8">
        <f t="shared" si="6"/>
        <v>16.925541775377607</v>
      </c>
      <c r="R8">
        <f t="shared" si="7"/>
        <v>5.9082303731910535E-2</v>
      </c>
      <c r="S8">
        <f t="shared" si="8"/>
        <v>5.9082303731910535E-2</v>
      </c>
      <c r="T8">
        <f t="shared" si="9"/>
        <v>5.9082303731910535E-2</v>
      </c>
    </row>
    <row r="9" spans="1:20" x14ac:dyDescent="0.35">
      <c r="A9" t="s">
        <v>18</v>
      </c>
      <c r="B9">
        <v>182493440</v>
      </c>
      <c r="C9" t="s">
        <v>19</v>
      </c>
      <c r="D9">
        <v>10786241</v>
      </c>
      <c r="F9">
        <f t="shared" si="0"/>
        <v>182493440</v>
      </c>
      <c r="G9">
        <f t="shared" ref="G9:H9" si="20">F9/1024</f>
        <v>178216.25</v>
      </c>
      <c r="H9">
        <f t="shared" si="20"/>
        <v>174.039306640625</v>
      </c>
      <c r="J9">
        <f t="shared" si="2"/>
        <v>10786241</v>
      </c>
      <c r="K9">
        <f t="shared" ref="K9:L9" si="21">J9/1024</f>
        <v>10533.4384765625</v>
      </c>
      <c r="L9">
        <f t="shared" si="21"/>
        <v>10.286561012268066</v>
      </c>
      <c r="N9">
        <f t="shared" si="4"/>
        <v>16.919095354906311</v>
      </c>
      <c r="O9">
        <f t="shared" si="5"/>
        <v>16.919095354906311</v>
      </c>
      <c r="P9">
        <f t="shared" si="6"/>
        <v>16.919095354906311</v>
      </c>
      <c r="R9">
        <f t="shared" si="7"/>
        <v>5.9104814945676952E-2</v>
      </c>
      <c r="S9">
        <f t="shared" si="8"/>
        <v>5.9104814945676952E-2</v>
      </c>
      <c r="T9">
        <f t="shared" si="9"/>
        <v>5.9104814945676952E-2</v>
      </c>
    </row>
    <row r="10" spans="1:20" x14ac:dyDescent="0.35">
      <c r="A10" t="s">
        <v>20</v>
      </c>
      <c r="B10">
        <v>182426282</v>
      </c>
      <c r="C10" t="s">
        <v>21</v>
      </c>
      <c r="D10">
        <v>10761532</v>
      </c>
      <c r="F10">
        <f t="shared" si="0"/>
        <v>182426282</v>
      </c>
      <c r="G10">
        <f t="shared" ref="G10:H10" si="22">F10/1024</f>
        <v>178150.666015625</v>
      </c>
      <c r="H10">
        <f t="shared" si="22"/>
        <v>173.97525978088379</v>
      </c>
      <c r="J10">
        <f t="shared" si="2"/>
        <v>10761532</v>
      </c>
      <c r="K10">
        <f t="shared" ref="K10:L10" si="23">J10/1024</f>
        <v>10509.30859375</v>
      </c>
      <c r="L10">
        <f t="shared" si="23"/>
        <v>10.262996673583984</v>
      </c>
      <c r="N10">
        <f t="shared" si="4"/>
        <v>16.951701858062588</v>
      </c>
      <c r="O10">
        <f t="shared" si="5"/>
        <v>16.951701858062588</v>
      </c>
      <c r="P10">
        <f t="shared" si="6"/>
        <v>16.951701858062588</v>
      </c>
      <c r="R10">
        <f t="shared" si="7"/>
        <v>5.8991127166643675E-2</v>
      </c>
      <c r="S10">
        <f t="shared" si="8"/>
        <v>5.8991127166643675E-2</v>
      </c>
      <c r="T10">
        <f t="shared" si="9"/>
        <v>5.8991127166643675E-2</v>
      </c>
    </row>
    <row r="11" spans="1:20" x14ac:dyDescent="0.35">
      <c r="A11" t="s">
        <v>22</v>
      </c>
      <c r="B11">
        <v>182638637</v>
      </c>
      <c r="C11" t="s">
        <v>23</v>
      </c>
      <c r="D11">
        <v>10762711</v>
      </c>
      <c r="F11">
        <f t="shared" si="0"/>
        <v>182638637</v>
      </c>
      <c r="G11">
        <f t="shared" ref="G11:H11" si="24">F11/1024</f>
        <v>178358.0439453125</v>
      </c>
      <c r="H11">
        <f t="shared" si="24"/>
        <v>174.17777729034424</v>
      </c>
      <c r="J11">
        <f t="shared" si="2"/>
        <v>10762711</v>
      </c>
      <c r="K11">
        <f t="shared" ref="K11:L11" si="25">J11/1024</f>
        <v>10510.4599609375</v>
      </c>
      <c r="L11">
        <f t="shared" si="25"/>
        <v>10.264121055603027</v>
      </c>
      <c r="N11">
        <f t="shared" si="4"/>
        <v>16.96957550936748</v>
      </c>
      <c r="O11">
        <f t="shared" si="5"/>
        <v>16.96957550936748</v>
      </c>
      <c r="P11">
        <f t="shared" si="6"/>
        <v>16.96957550936748</v>
      </c>
      <c r="R11">
        <f t="shared" si="7"/>
        <v>5.8928993211879915E-2</v>
      </c>
      <c r="S11">
        <f t="shared" si="8"/>
        <v>5.8928993211879915E-2</v>
      </c>
      <c r="T11">
        <f t="shared" si="9"/>
        <v>5.8928993211879915E-2</v>
      </c>
    </row>
    <row r="12" spans="1:20" x14ac:dyDescent="0.35">
      <c r="A12" t="s">
        <v>24</v>
      </c>
      <c r="B12">
        <v>182493197</v>
      </c>
      <c r="C12" t="s">
        <v>25</v>
      </c>
      <c r="D12">
        <v>10760810</v>
      </c>
      <c r="F12">
        <f t="shared" si="0"/>
        <v>182493197</v>
      </c>
      <c r="G12">
        <f t="shared" ref="G12:H12" si="26">F12/1024</f>
        <v>178216.0126953125</v>
      </c>
      <c r="H12">
        <f t="shared" si="26"/>
        <v>174.03907489776611</v>
      </c>
      <c r="J12">
        <f t="shared" si="2"/>
        <v>10760810</v>
      </c>
      <c r="K12">
        <f t="shared" ref="K12:L12" si="27">J12/1024</f>
        <v>10508.603515625</v>
      </c>
      <c r="L12">
        <f t="shared" si="27"/>
        <v>10.262308120727539</v>
      </c>
      <c r="N12">
        <f t="shared" si="4"/>
        <v>16.959057635995805</v>
      </c>
      <c r="O12">
        <f t="shared" si="5"/>
        <v>16.959057635995805</v>
      </c>
      <c r="P12">
        <f t="shared" si="6"/>
        <v>16.959057635995805</v>
      </c>
      <c r="R12">
        <f t="shared" si="7"/>
        <v>5.8965540507244223E-2</v>
      </c>
      <c r="S12">
        <f t="shared" si="8"/>
        <v>5.8965540507244223E-2</v>
      </c>
      <c r="T12">
        <f t="shared" si="9"/>
        <v>5.8965540507244223E-2</v>
      </c>
    </row>
    <row r="13" spans="1:20" x14ac:dyDescent="0.35">
      <c r="A13" t="s">
        <v>26</v>
      </c>
      <c r="B13">
        <v>182411703</v>
      </c>
      <c r="C13" t="s">
        <v>27</v>
      </c>
      <c r="D13">
        <v>10761675</v>
      </c>
      <c r="F13">
        <f t="shared" si="0"/>
        <v>182411703</v>
      </c>
      <c r="G13">
        <f t="shared" ref="G13:H13" si="28">F13/1024</f>
        <v>178136.4287109375</v>
      </c>
      <c r="H13">
        <f t="shared" si="28"/>
        <v>173.9613561630249</v>
      </c>
      <c r="J13">
        <f t="shared" si="2"/>
        <v>10761675</v>
      </c>
      <c r="K13">
        <f t="shared" ref="K13:L13" si="29">J13/1024</f>
        <v>10509.4482421875</v>
      </c>
      <c r="L13">
        <f t="shared" si="29"/>
        <v>10.26313304901123</v>
      </c>
      <c r="N13">
        <f t="shared" si="4"/>
        <v>16.950121890876652</v>
      </c>
      <c r="O13">
        <f t="shared" si="5"/>
        <v>16.950121890876652</v>
      </c>
      <c r="P13">
        <f t="shared" si="6"/>
        <v>16.950121890876652</v>
      </c>
      <c r="R13">
        <f t="shared" si="7"/>
        <v>5.8996625890828942E-2</v>
      </c>
      <c r="S13">
        <f t="shared" si="8"/>
        <v>5.8996625890828942E-2</v>
      </c>
      <c r="T13">
        <f t="shared" si="9"/>
        <v>5.8996625890828942E-2</v>
      </c>
    </row>
    <row r="14" spans="1:20" x14ac:dyDescent="0.35">
      <c r="A14" t="s">
        <v>28</v>
      </c>
      <c r="B14">
        <v>182221642</v>
      </c>
      <c r="C14" t="s">
        <v>29</v>
      </c>
      <c r="D14">
        <v>10759881</v>
      </c>
      <c r="F14">
        <f t="shared" si="0"/>
        <v>182221642</v>
      </c>
      <c r="G14">
        <f t="shared" ref="G14:H14" si="30">F14/1024</f>
        <v>177950.822265625</v>
      </c>
      <c r="H14">
        <f t="shared" si="30"/>
        <v>173.78009986877441</v>
      </c>
      <c r="J14">
        <f t="shared" si="2"/>
        <v>10759881</v>
      </c>
      <c r="K14">
        <f t="shared" ref="K14:L14" si="31">J14/1024</f>
        <v>10507.6962890625</v>
      </c>
      <c r="L14">
        <f t="shared" si="31"/>
        <v>10.261422157287598</v>
      </c>
      <c r="N14">
        <f t="shared" si="4"/>
        <v>16.935284135577337</v>
      </c>
      <c r="O14">
        <f t="shared" si="5"/>
        <v>16.935284135577337</v>
      </c>
      <c r="P14">
        <f t="shared" si="6"/>
        <v>16.935284135577337</v>
      </c>
      <c r="R14">
        <f t="shared" si="7"/>
        <v>5.9048315457502026E-2</v>
      </c>
      <c r="S14">
        <f t="shared" si="8"/>
        <v>5.9048315457502026E-2</v>
      </c>
      <c r="T14">
        <f t="shared" si="9"/>
        <v>5.9048315457502026E-2</v>
      </c>
    </row>
    <row r="15" spans="1:20" x14ac:dyDescent="0.35">
      <c r="A15" t="s">
        <v>30</v>
      </c>
      <c r="B15">
        <v>182215826</v>
      </c>
      <c r="C15" t="s">
        <v>31</v>
      </c>
      <c r="D15">
        <v>10758186</v>
      </c>
      <c r="F15">
        <f t="shared" si="0"/>
        <v>182215826</v>
      </c>
      <c r="G15">
        <f t="shared" ref="G15:H15" si="32">F15/1024</f>
        <v>177945.142578125</v>
      </c>
      <c r="H15">
        <f t="shared" si="32"/>
        <v>173.7745532989502</v>
      </c>
      <c r="J15">
        <f t="shared" si="2"/>
        <v>10758186</v>
      </c>
      <c r="K15">
        <f t="shared" ref="K15:L15" si="33">J15/1024</f>
        <v>10506.041015625</v>
      </c>
      <c r="L15">
        <f t="shared" si="33"/>
        <v>10.259805679321289</v>
      </c>
      <c r="N15">
        <f t="shared" si="4"/>
        <v>16.937411753245389</v>
      </c>
      <c r="O15">
        <f t="shared" si="5"/>
        <v>16.937411753245389</v>
      </c>
      <c r="P15">
        <f t="shared" si="6"/>
        <v>16.937411753245389</v>
      </c>
      <c r="R15">
        <f t="shared" si="7"/>
        <v>5.9040898017277597E-2</v>
      </c>
      <c r="S15">
        <f t="shared" si="8"/>
        <v>5.9040898017277597E-2</v>
      </c>
      <c r="T15">
        <f t="shared" si="9"/>
        <v>5.9040898017277597E-2</v>
      </c>
    </row>
    <row r="16" spans="1:20" x14ac:dyDescent="0.35">
      <c r="A16" t="s">
        <v>32</v>
      </c>
      <c r="B16">
        <v>182317554</v>
      </c>
      <c r="C16" t="s">
        <v>33</v>
      </c>
      <c r="D16">
        <v>10755018</v>
      </c>
      <c r="F16">
        <f t="shared" si="0"/>
        <v>182317554</v>
      </c>
      <c r="G16">
        <f t="shared" ref="G16:H16" si="34">F16/1024</f>
        <v>178044.486328125</v>
      </c>
      <c r="H16">
        <f t="shared" si="34"/>
        <v>173.87156867980957</v>
      </c>
      <c r="J16">
        <f t="shared" si="2"/>
        <v>10755018</v>
      </c>
      <c r="K16">
        <f t="shared" ref="K16:L16" si="35">J16/1024</f>
        <v>10502.947265625</v>
      </c>
      <c r="L16">
        <f t="shared" si="35"/>
        <v>10.256784439086914</v>
      </c>
      <c r="N16">
        <f t="shared" si="4"/>
        <v>16.951859494795826</v>
      </c>
      <c r="O16">
        <f t="shared" si="5"/>
        <v>16.951859494795826</v>
      </c>
      <c r="P16">
        <f t="shared" si="6"/>
        <v>16.951859494795826</v>
      </c>
      <c r="R16">
        <f t="shared" si="7"/>
        <v>5.8990578603308821E-2</v>
      </c>
      <c r="S16">
        <f t="shared" si="8"/>
        <v>5.8990578603308821E-2</v>
      </c>
      <c r="T16">
        <f t="shared" si="9"/>
        <v>5.8990578603308821E-2</v>
      </c>
    </row>
    <row r="17" spans="1:20" x14ac:dyDescent="0.35">
      <c r="A17" t="s">
        <v>34</v>
      </c>
      <c r="B17">
        <v>182223501</v>
      </c>
      <c r="C17" t="s">
        <v>35</v>
      </c>
      <c r="D17">
        <v>10754661</v>
      </c>
      <c r="F17">
        <f t="shared" si="0"/>
        <v>182223501</v>
      </c>
      <c r="G17">
        <f t="shared" ref="G17:H17" si="36">F17/1024</f>
        <v>177952.6376953125</v>
      </c>
      <c r="H17">
        <f t="shared" si="36"/>
        <v>173.78187274932861</v>
      </c>
      <c r="J17">
        <f t="shared" si="2"/>
        <v>10754661</v>
      </c>
      <c r="K17">
        <f t="shared" ref="K17:L17" si="37">J17/1024</f>
        <v>10502.5986328125</v>
      </c>
      <c r="L17">
        <f t="shared" si="37"/>
        <v>10.256443977355957</v>
      </c>
      <c r="N17">
        <f t="shared" si="4"/>
        <v>16.943676885770738</v>
      </c>
      <c r="O17">
        <f t="shared" si="5"/>
        <v>16.943676885770738</v>
      </c>
      <c r="P17">
        <f t="shared" si="6"/>
        <v>16.943676885770738</v>
      </c>
      <c r="R17">
        <f t="shared" si="7"/>
        <v>5.9019066920462687E-2</v>
      </c>
      <c r="S17">
        <f t="shared" si="8"/>
        <v>5.9019066920462687E-2</v>
      </c>
      <c r="T17">
        <f t="shared" si="9"/>
        <v>5.9019066920462687E-2</v>
      </c>
    </row>
    <row r="18" spans="1:20" x14ac:dyDescent="0.35">
      <c r="A18" t="s">
        <v>36</v>
      </c>
      <c r="B18">
        <v>182164936</v>
      </c>
      <c r="C18" t="s">
        <v>37</v>
      </c>
      <c r="D18">
        <v>10755776</v>
      </c>
      <c r="F18">
        <f t="shared" si="0"/>
        <v>182164936</v>
      </c>
      <c r="G18">
        <f t="shared" ref="G18:H18" si="38">F18/1024</f>
        <v>177895.4453125</v>
      </c>
      <c r="H18">
        <f t="shared" si="38"/>
        <v>173.72602081298828</v>
      </c>
      <c r="J18">
        <f t="shared" si="2"/>
        <v>10755776</v>
      </c>
      <c r="K18">
        <f t="shared" ref="K18:L18" si="39">J18/1024</f>
        <v>10503.6875</v>
      </c>
      <c r="L18">
        <f t="shared" si="39"/>
        <v>10.25750732421875</v>
      </c>
      <c r="N18">
        <f t="shared" si="4"/>
        <v>16.936475434222505</v>
      </c>
      <c r="O18">
        <f t="shared" si="5"/>
        <v>16.936475434222505</v>
      </c>
      <c r="P18">
        <f t="shared" si="6"/>
        <v>16.936475434222505</v>
      </c>
      <c r="R18">
        <f t="shared" si="7"/>
        <v>5.9044162044445257E-2</v>
      </c>
      <c r="S18">
        <f t="shared" si="8"/>
        <v>5.9044162044445257E-2</v>
      </c>
      <c r="T18">
        <f t="shared" si="9"/>
        <v>5.9044162044445257E-2</v>
      </c>
    </row>
    <row r="19" spans="1:20" x14ac:dyDescent="0.35">
      <c r="A19" t="s">
        <v>38</v>
      </c>
      <c r="B19">
        <v>182152928</v>
      </c>
      <c r="C19" t="s">
        <v>39</v>
      </c>
      <c r="D19">
        <v>10750821</v>
      </c>
      <c r="F19">
        <f t="shared" si="0"/>
        <v>182152928</v>
      </c>
      <c r="G19">
        <f t="shared" ref="G19:H19" si="40">F19/1024</f>
        <v>177883.71875</v>
      </c>
      <c r="H19">
        <f t="shared" si="40"/>
        <v>173.71456909179688</v>
      </c>
      <c r="J19">
        <f t="shared" si="2"/>
        <v>10750821</v>
      </c>
      <c r="K19">
        <f t="shared" ref="K19:L19" si="41">J19/1024</f>
        <v>10498.8486328125</v>
      </c>
      <c r="L19">
        <f t="shared" si="41"/>
        <v>10.252781867980957</v>
      </c>
      <c r="N19">
        <f t="shared" si="4"/>
        <v>16.943164433674415</v>
      </c>
      <c r="O19">
        <f t="shared" si="5"/>
        <v>16.943164433674415</v>
      </c>
      <c r="P19">
        <f t="shared" si="6"/>
        <v>16.943164433674415</v>
      </c>
      <c r="R19">
        <f t="shared" si="7"/>
        <v>5.9020851973348464E-2</v>
      </c>
      <c r="S19">
        <f t="shared" si="8"/>
        <v>5.9020851973348464E-2</v>
      </c>
      <c r="T19">
        <f t="shared" si="9"/>
        <v>5.9020851973348464E-2</v>
      </c>
    </row>
    <row r="20" spans="1:20" x14ac:dyDescent="0.35">
      <c r="A20" t="s">
        <v>40</v>
      </c>
      <c r="B20">
        <v>183384303</v>
      </c>
      <c r="C20" t="s">
        <v>41</v>
      </c>
      <c r="D20">
        <v>10801763</v>
      </c>
      <c r="F20">
        <f t="shared" si="0"/>
        <v>183384303</v>
      </c>
      <c r="G20">
        <f t="shared" ref="G20:H20" si="42">F20/1024</f>
        <v>179086.2333984375</v>
      </c>
      <c r="H20">
        <f t="shared" si="42"/>
        <v>174.88889980316162</v>
      </c>
      <c r="J20">
        <f t="shared" si="2"/>
        <v>10801763</v>
      </c>
      <c r="K20">
        <f t="shared" ref="K20:L20" si="43">J20/1024</f>
        <v>10548.5966796875</v>
      </c>
      <c r="L20">
        <f t="shared" si="43"/>
        <v>10.301363945007324</v>
      </c>
      <c r="N20">
        <f t="shared" si="4"/>
        <v>16.977256675600085</v>
      </c>
      <c r="O20">
        <f t="shared" si="5"/>
        <v>16.977256675600085</v>
      </c>
      <c r="P20">
        <f t="shared" si="6"/>
        <v>16.977256675600085</v>
      </c>
      <c r="R20">
        <f t="shared" si="7"/>
        <v>5.8902331460724856E-2</v>
      </c>
      <c r="S20">
        <f t="shared" si="8"/>
        <v>5.8902331460724856E-2</v>
      </c>
      <c r="T20">
        <f t="shared" si="9"/>
        <v>5.8902331460724856E-2</v>
      </c>
    </row>
    <row r="21" spans="1:20" x14ac:dyDescent="0.35">
      <c r="A21" t="s">
        <v>42</v>
      </c>
      <c r="B21">
        <v>183388379</v>
      </c>
      <c r="C21" t="s">
        <v>43</v>
      </c>
      <c r="D21">
        <v>10800492</v>
      </c>
      <c r="F21">
        <f t="shared" si="0"/>
        <v>183388379</v>
      </c>
      <c r="G21">
        <f t="shared" ref="G21:H21" si="44">F21/1024</f>
        <v>179090.2138671875</v>
      </c>
      <c r="H21">
        <f t="shared" si="44"/>
        <v>174.89278697967529</v>
      </c>
      <c r="J21">
        <f t="shared" si="2"/>
        <v>10800492</v>
      </c>
      <c r="K21">
        <f t="shared" ref="K21:L21" si="45">J21/1024</f>
        <v>10547.35546875</v>
      </c>
      <c r="L21">
        <f t="shared" si="45"/>
        <v>10.300151824951172</v>
      </c>
      <c r="N21">
        <f t="shared" si="4"/>
        <v>16.979631946396516</v>
      </c>
      <c r="O21">
        <f t="shared" si="5"/>
        <v>16.979631946396516</v>
      </c>
      <c r="P21">
        <f t="shared" si="6"/>
        <v>16.979631946396516</v>
      </c>
      <c r="R21">
        <f t="shared" si="7"/>
        <v>5.889409164797732E-2</v>
      </c>
      <c r="S21">
        <f t="shared" si="8"/>
        <v>5.889409164797732E-2</v>
      </c>
      <c r="T21">
        <f t="shared" si="9"/>
        <v>5.889409164797732E-2</v>
      </c>
    </row>
    <row r="22" spans="1:20" x14ac:dyDescent="0.35">
      <c r="A22" t="s">
        <v>44</v>
      </c>
      <c r="B22">
        <v>183605344</v>
      </c>
      <c r="C22" t="s">
        <v>45</v>
      </c>
      <c r="D22">
        <v>10804717</v>
      </c>
      <c r="F22">
        <f t="shared" si="0"/>
        <v>183605344</v>
      </c>
      <c r="G22">
        <f t="shared" ref="G22:H22" si="46">F22/1024</f>
        <v>179302.09375</v>
      </c>
      <c r="H22">
        <f t="shared" si="46"/>
        <v>175.09970092773438</v>
      </c>
      <c r="J22">
        <f t="shared" si="2"/>
        <v>10804717</v>
      </c>
      <c r="K22">
        <f t="shared" ref="K22:L22" si="47">J22/1024</f>
        <v>10551.4814453125</v>
      </c>
      <c r="L22">
        <f t="shared" si="47"/>
        <v>10.304181098937988</v>
      </c>
      <c r="N22">
        <f t="shared" si="4"/>
        <v>16.993072932868117</v>
      </c>
      <c r="O22">
        <f t="shared" si="5"/>
        <v>16.993072932868117</v>
      </c>
      <c r="P22">
        <f t="shared" si="6"/>
        <v>16.993072932868117</v>
      </c>
      <c r="R22">
        <f t="shared" si="7"/>
        <v>5.8847508272961813E-2</v>
      </c>
      <c r="S22">
        <f t="shared" si="8"/>
        <v>5.8847508272961813E-2</v>
      </c>
      <c r="T22">
        <f t="shared" si="9"/>
        <v>5.8847508272961813E-2</v>
      </c>
    </row>
    <row r="23" spans="1:20" x14ac:dyDescent="0.35">
      <c r="A23" t="s">
        <v>46</v>
      </c>
      <c r="B23">
        <v>183437595</v>
      </c>
      <c r="C23" t="s">
        <v>47</v>
      </c>
      <c r="D23">
        <v>10802881</v>
      </c>
      <c r="F23">
        <f t="shared" si="0"/>
        <v>183437595</v>
      </c>
      <c r="G23">
        <f t="shared" ref="G23:H23" si="48">F23/1024</f>
        <v>179138.2763671875</v>
      </c>
      <c r="H23">
        <f t="shared" si="48"/>
        <v>174.93972301483154</v>
      </c>
      <c r="J23">
        <f t="shared" si="2"/>
        <v>10802881</v>
      </c>
      <c r="K23">
        <f t="shared" ref="K23:L23" si="49">J23/1024</f>
        <v>10549.6884765625</v>
      </c>
      <c r="L23">
        <f t="shared" si="49"/>
        <v>10.302430152893066</v>
      </c>
      <c r="N23">
        <f t="shared" si="4"/>
        <v>16.980432812321084</v>
      </c>
      <c r="O23">
        <f t="shared" si="5"/>
        <v>16.980432812321084</v>
      </c>
      <c r="P23">
        <f t="shared" si="6"/>
        <v>16.980432812321084</v>
      </c>
      <c r="R23">
        <f t="shared" si="7"/>
        <v>5.8891313964293958E-2</v>
      </c>
      <c r="S23">
        <f t="shared" si="8"/>
        <v>5.8891313964293958E-2</v>
      </c>
      <c r="T23">
        <f t="shared" si="9"/>
        <v>5.8891313964293958E-2</v>
      </c>
    </row>
    <row r="24" spans="1:20" x14ac:dyDescent="0.35">
      <c r="A24" t="s">
        <v>48</v>
      </c>
      <c r="B24">
        <v>183176491</v>
      </c>
      <c r="C24" t="s">
        <v>49</v>
      </c>
      <c r="D24">
        <v>10803936</v>
      </c>
      <c r="F24">
        <f t="shared" si="0"/>
        <v>183176491</v>
      </c>
      <c r="G24">
        <f t="shared" ref="G24:H24" si="50">F24/1024</f>
        <v>178883.2919921875</v>
      </c>
      <c r="H24">
        <f t="shared" si="50"/>
        <v>174.69071483612061</v>
      </c>
      <c r="J24">
        <f t="shared" si="2"/>
        <v>10803936</v>
      </c>
      <c r="K24">
        <f t="shared" ref="K24:L24" si="51">J24/1024</f>
        <v>10550.71875</v>
      </c>
      <c r="L24">
        <f t="shared" si="51"/>
        <v>10.303436279296875</v>
      </c>
      <c r="N24">
        <f t="shared" si="4"/>
        <v>16.954607191305094</v>
      </c>
      <c r="O24">
        <f t="shared" si="5"/>
        <v>16.954607191305094</v>
      </c>
      <c r="P24">
        <f t="shared" si="6"/>
        <v>16.954607191305094</v>
      </c>
      <c r="R24">
        <f t="shared" si="7"/>
        <v>5.8981018475782465E-2</v>
      </c>
      <c r="S24">
        <f t="shared" si="8"/>
        <v>5.8981018475782465E-2</v>
      </c>
      <c r="T24">
        <f t="shared" si="9"/>
        <v>5.8981018475782465E-2</v>
      </c>
    </row>
    <row r="25" spans="1:20" x14ac:dyDescent="0.35">
      <c r="A25" t="s">
        <v>50</v>
      </c>
      <c r="B25">
        <v>183452045</v>
      </c>
      <c r="C25" t="s">
        <v>51</v>
      </c>
      <c r="D25">
        <v>10800907</v>
      </c>
      <c r="F25">
        <f t="shared" si="0"/>
        <v>183452045</v>
      </c>
      <c r="G25">
        <f t="shared" ref="G25:H25" si="52">F25/1024</f>
        <v>179152.3876953125</v>
      </c>
      <c r="H25">
        <f t="shared" si="52"/>
        <v>174.95350360870361</v>
      </c>
      <c r="J25">
        <f t="shared" si="2"/>
        <v>10800907</v>
      </c>
      <c r="K25">
        <f t="shared" ref="K25:L25" si="53">J25/1024</f>
        <v>10547.7607421875</v>
      </c>
      <c r="L25">
        <f t="shared" si="53"/>
        <v>10.30054759979248</v>
      </c>
      <c r="N25">
        <f t="shared" si="4"/>
        <v>16.984874048077629</v>
      </c>
      <c r="O25">
        <f t="shared" si="5"/>
        <v>16.984874048077629</v>
      </c>
      <c r="P25">
        <f t="shared" si="6"/>
        <v>16.984874048077629</v>
      </c>
      <c r="R25">
        <f t="shared" si="7"/>
        <v>5.8875914956412721E-2</v>
      </c>
      <c r="S25">
        <f t="shared" si="8"/>
        <v>5.8875914956412721E-2</v>
      </c>
      <c r="T25">
        <f t="shared" si="9"/>
        <v>5.8875914956412721E-2</v>
      </c>
    </row>
    <row r="26" spans="1:20" x14ac:dyDescent="0.35">
      <c r="A26" t="s">
        <v>52</v>
      </c>
      <c r="B26">
        <v>183153389</v>
      </c>
      <c r="C26" t="s">
        <v>53</v>
      </c>
      <c r="D26">
        <v>10801406</v>
      </c>
      <c r="F26">
        <f t="shared" si="0"/>
        <v>183153389</v>
      </c>
      <c r="G26">
        <f t="shared" ref="G26:H26" si="54">F26/1024</f>
        <v>178860.7314453125</v>
      </c>
      <c r="H26">
        <f t="shared" si="54"/>
        <v>174.66868305206299</v>
      </c>
      <c r="J26">
        <f t="shared" si="2"/>
        <v>10801406</v>
      </c>
      <c r="K26">
        <f t="shared" ref="K26:L26" si="55">J26/1024</f>
        <v>10548.248046875</v>
      </c>
      <c r="L26">
        <f t="shared" si="55"/>
        <v>10.301023483276367</v>
      </c>
      <c r="N26">
        <f t="shared" si="4"/>
        <v>16.956439652393403</v>
      </c>
      <c r="O26">
        <f t="shared" si="5"/>
        <v>16.956439652393403</v>
      </c>
      <c r="P26">
        <f t="shared" si="6"/>
        <v>16.956439652393403</v>
      </c>
      <c r="R26">
        <f t="shared" si="7"/>
        <v>5.8974644471361651E-2</v>
      </c>
      <c r="S26">
        <f t="shared" si="8"/>
        <v>5.8974644471361651E-2</v>
      </c>
      <c r="T26">
        <f t="shared" si="9"/>
        <v>5.8974644471361651E-2</v>
      </c>
    </row>
    <row r="27" spans="1:20" x14ac:dyDescent="0.35">
      <c r="A27" t="s">
        <v>54</v>
      </c>
      <c r="B27">
        <v>183457263</v>
      </c>
      <c r="C27" t="s">
        <v>55</v>
      </c>
      <c r="D27">
        <v>10802384</v>
      </c>
      <c r="F27">
        <f t="shared" si="0"/>
        <v>183457263</v>
      </c>
      <c r="G27">
        <f t="shared" ref="G27:H27" si="56">F27/1024</f>
        <v>179157.4833984375</v>
      </c>
      <c r="H27">
        <f t="shared" si="56"/>
        <v>174.95847988128662</v>
      </c>
      <c r="J27">
        <f t="shared" si="2"/>
        <v>10802384</v>
      </c>
      <c r="K27">
        <f t="shared" ref="K27:L27" si="57">J27/1024</f>
        <v>10549.203125</v>
      </c>
      <c r="L27">
        <f t="shared" si="57"/>
        <v>10.301956176757813</v>
      </c>
      <c r="N27">
        <f t="shared" si="4"/>
        <v>16.983034763437406</v>
      </c>
      <c r="O27">
        <f t="shared" si="5"/>
        <v>16.983034763437406</v>
      </c>
      <c r="P27">
        <f t="shared" si="6"/>
        <v>16.983034763437406</v>
      </c>
      <c r="R27">
        <f t="shared" si="7"/>
        <v>5.8882291294185499E-2</v>
      </c>
      <c r="S27">
        <f t="shared" si="8"/>
        <v>5.8882291294185499E-2</v>
      </c>
      <c r="T27">
        <f t="shared" si="9"/>
        <v>5.8882291294185499E-2</v>
      </c>
    </row>
    <row r="28" spans="1:20" x14ac:dyDescent="0.35">
      <c r="A28" t="s">
        <v>56</v>
      </c>
      <c r="B28">
        <v>183257101</v>
      </c>
      <c r="C28" t="s">
        <v>57</v>
      </c>
      <c r="D28">
        <v>10799833</v>
      </c>
      <c r="F28">
        <f t="shared" si="0"/>
        <v>183257101</v>
      </c>
      <c r="G28">
        <f t="shared" ref="G28:H28" si="58">F28/1024</f>
        <v>178962.0126953125</v>
      </c>
      <c r="H28">
        <f t="shared" si="58"/>
        <v>174.76759052276611</v>
      </c>
      <c r="J28">
        <f t="shared" si="2"/>
        <v>10799833</v>
      </c>
      <c r="K28">
        <f t="shared" ref="K28:L28" si="59">J28/1024</f>
        <v>10546.7119140625</v>
      </c>
      <c r="L28">
        <f t="shared" si="59"/>
        <v>10.29952335357666</v>
      </c>
      <c r="N28">
        <f t="shared" si="4"/>
        <v>16.968512476072547</v>
      </c>
      <c r="O28">
        <f t="shared" si="5"/>
        <v>16.968512476072547</v>
      </c>
      <c r="P28">
        <f t="shared" si="6"/>
        <v>16.968512476072547</v>
      </c>
      <c r="R28">
        <f t="shared" si="7"/>
        <v>5.8932684960458913E-2</v>
      </c>
      <c r="S28">
        <f t="shared" si="8"/>
        <v>5.8932684960458913E-2</v>
      </c>
      <c r="T28">
        <f t="shared" si="9"/>
        <v>5.8932684960458913E-2</v>
      </c>
    </row>
    <row r="29" spans="1:20" x14ac:dyDescent="0.35">
      <c r="A29" t="s">
        <v>58</v>
      </c>
      <c r="B29">
        <v>183170229</v>
      </c>
      <c r="C29" t="s">
        <v>59</v>
      </c>
      <c r="D29">
        <v>10789397</v>
      </c>
      <c r="F29">
        <f t="shared" si="0"/>
        <v>183170229</v>
      </c>
      <c r="G29">
        <f t="shared" ref="G29:H29" si="60">F29/1024</f>
        <v>178877.1767578125</v>
      </c>
      <c r="H29">
        <f t="shared" si="60"/>
        <v>174.68474292755127</v>
      </c>
      <c r="J29">
        <f t="shared" si="2"/>
        <v>10789397</v>
      </c>
      <c r="K29">
        <f t="shared" ref="K29:L29" si="61">J29/1024</f>
        <v>10536.5205078125</v>
      </c>
      <c r="L29">
        <f t="shared" si="61"/>
        <v>10.289570808410645</v>
      </c>
      <c r="N29">
        <f t="shared" si="4"/>
        <v>16.976873591730843</v>
      </c>
      <c r="O29">
        <f t="shared" si="5"/>
        <v>16.976873591730843</v>
      </c>
      <c r="P29">
        <f t="shared" si="6"/>
        <v>16.976873591730843</v>
      </c>
      <c r="R29">
        <f t="shared" si="7"/>
        <v>5.8903660594320707E-2</v>
      </c>
      <c r="S29">
        <f t="shared" si="8"/>
        <v>5.8903660594320707E-2</v>
      </c>
      <c r="T29">
        <f t="shared" si="9"/>
        <v>5.8903660594320707E-2</v>
      </c>
    </row>
    <row r="30" spans="1:20" x14ac:dyDescent="0.35">
      <c r="A30" t="s">
        <v>60</v>
      </c>
      <c r="B30">
        <v>183124465</v>
      </c>
      <c r="C30" t="s">
        <v>61</v>
      </c>
      <c r="D30">
        <v>10791660</v>
      </c>
      <c r="F30">
        <f t="shared" si="0"/>
        <v>183124465</v>
      </c>
      <c r="G30">
        <f t="shared" ref="G30:H30" si="62">F30/1024</f>
        <v>178832.4853515625</v>
      </c>
      <c r="H30">
        <f t="shared" si="62"/>
        <v>174.64109897613525</v>
      </c>
      <c r="J30">
        <f t="shared" si="2"/>
        <v>10791660</v>
      </c>
      <c r="K30">
        <f t="shared" ref="K30:L30" si="63">J30/1024</f>
        <v>10538.73046875</v>
      </c>
      <c r="L30">
        <f t="shared" si="63"/>
        <v>10.291728973388672</v>
      </c>
      <c r="N30">
        <f t="shared" si="4"/>
        <v>16.969072876647338</v>
      </c>
      <c r="O30">
        <f t="shared" si="5"/>
        <v>16.969072876647338</v>
      </c>
      <c r="P30">
        <f t="shared" si="6"/>
        <v>16.969072876647338</v>
      </c>
      <c r="R30">
        <f t="shared" si="7"/>
        <v>5.8930738719154753E-2</v>
      </c>
      <c r="S30">
        <f t="shared" si="8"/>
        <v>5.8930738719154753E-2</v>
      </c>
      <c r="T30">
        <f t="shared" si="9"/>
        <v>5.8930738719154753E-2</v>
      </c>
    </row>
    <row r="31" spans="1:20" x14ac:dyDescent="0.35">
      <c r="A31" t="s">
        <v>62</v>
      </c>
      <c r="B31">
        <v>183173085</v>
      </c>
      <c r="C31" t="s">
        <v>63</v>
      </c>
      <c r="D31">
        <v>10789113</v>
      </c>
      <c r="F31">
        <f t="shared" si="0"/>
        <v>183173085</v>
      </c>
      <c r="G31">
        <f t="shared" ref="G31:H31" si="64">F31/1024</f>
        <v>178879.9658203125</v>
      </c>
      <c r="H31">
        <f t="shared" si="64"/>
        <v>174.68746662139893</v>
      </c>
      <c r="J31">
        <f t="shared" si="2"/>
        <v>10789113</v>
      </c>
      <c r="K31">
        <f t="shared" ref="K31:L31" si="65">J31/1024</f>
        <v>10536.2431640625</v>
      </c>
      <c r="L31">
        <f t="shared" si="65"/>
        <v>10.289299964904785</v>
      </c>
      <c r="N31">
        <f t="shared" si="4"/>
        <v>16.977585182396364</v>
      </c>
      <c r="O31">
        <f t="shared" si="5"/>
        <v>16.977585182396364</v>
      </c>
      <c r="P31">
        <f t="shared" si="6"/>
        <v>16.977585182396364</v>
      </c>
      <c r="R31">
        <f t="shared" si="7"/>
        <v>5.890119173349076E-2</v>
      </c>
      <c r="S31">
        <f t="shared" si="8"/>
        <v>5.890119173349076E-2</v>
      </c>
      <c r="T31">
        <f t="shared" si="9"/>
        <v>5.890119173349076E-2</v>
      </c>
    </row>
    <row r="32" spans="1:20" x14ac:dyDescent="0.35">
      <c r="A32" t="s">
        <v>64</v>
      </c>
      <c r="B32">
        <v>183388588</v>
      </c>
      <c r="C32" t="s">
        <v>65</v>
      </c>
      <c r="D32">
        <v>10791154</v>
      </c>
      <c r="F32">
        <f t="shared" si="0"/>
        <v>183388588</v>
      </c>
      <c r="G32">
        <f t="shared" ref="G32:H32" si="66">F32/1024</f>
        <v>179090.41796875</v>
      </c>
      <c r="H32">
        <f t="shared" si="66"/>
        <v>174.89298629760742</v>
      </c>
      <c r="J32">
        <f t="shared" si="2"/>
        <v>10791154</v>
      </c>
      <c r="K32">
        <f t="shared" ref="K32:L32" si="67">J32/1024</f>
        <v>10538.236328125</v>
      </c>
      <c r="L32">
        <f t="shared" si="67"/>
        <v>10.29124641418457</v>
      </c>
      <c r="N32">
        <f t="shared" si="4"/>
        <v>16.99434444175294</v>
      </c>
      <c r="O32">
        <f t="shared" si="5"/>
        <v>16.99434444175294</v>
      </c>
      <c r="P32">
        <f t="shared" si="6"/>
        <v>16.99434444175294</v>
      </c>
      <c r="R32">
        <f t="shared" si="7"/>
        <v>5.8843105329978329E-2</v>
      </c>
      <c r="S32">
        <f t="shared" si="8"/>
        <v>5.8843105329978329E-2</v>
      </c>
      <c r="T32">
        <f t="shared" si="9"/>
        <v>5.8843105329978329E-2</v>
      </c>
    </row>
    <row r="33" spans="1:20" x14ac:dyDescent="0.35">
      <c r="A33" t="s">
        <v>66</v>
      </c>
      <c r="B33">
        <v>183208422</v>
      </c>
      <c r="C33" t="s">
        <v>67</v>
      </c>
      <c r="D33">
        <v>10786919</v>
      </c>
      <c r="F33">
        <f t="shared" si="0"/>
        <v>183208422</v>
      </c>
      <c r="G33">
        <f t="shared" ref="G33:H33" si="68">F33/1024</f>
        <v>178914.474609375</v>
      </c>
      <c r="H33">
        <f t="shared" si="68"/>
        <v>174.72116661071777</v>
      </c>
      <c r="J33">
        <f t="shared" si="2"/>
        <v>10786919</v>
      </c>
      <c r="K33">
        <f t="shared" ref="K33:L33" si="69">J33/1024</f>
        <v>10534.1005859375</v>
      </c>
      <c r="L33">
        <f t="shared" si="69"/>
        <v>10.28720760345459</v>
      </c>
      <c r="N33">
        <f t="shared" si="4"/>
        <v>16.984314242092669</v>
      </c>
      <c r="O33">
        <f t="shared" si="5"/>
        <v>16.984314242092669</v>
      </c>
      <c r="P33">
        <f t="shared" si="6"/>
        <v>16.984314242092669</v>
      </c>
      <c r="R33">
        <f t="shared" si="7"/>
        <v>5.887785551692596E-2</v>
      </c>
      <c r="S33">
        <f t="shared" si="8"/>
        <v>5.887785551692596E-2</v>
      </c>
      <c r="T33">
        <f t="shared" si="9"/>
        <v>5.887785551692596E-2</v>
      </c>
    </row>
    <row r="34" spans="1:20" x14ac:dyDescent="0.35">
      <c r="A34" t="s">
        <v>68</v>
      </c>
      <c r="B34">
        <v>182950798</v>
      </c>
      <c r="C34" t="s">
        <v>69</v>
      </c>
      <c r="D34">
        <v>10790637</v>
      </c>
      <c r="F34">
        <f t="shared" si="0"/>
        <v>182950798</v>
      </c>
      <c r="G34">
        <f t="shared" ref="G34:H34" si="70">F34/1024</f>
        <v>178662.888671875</v>
      </c>
      <c r="H34">
        <f t="shared" si="70"/>
        <v>174.47547721862793</v>
      </c>
      <c r="J34">
        <f t="shared" si="2"/>
        <v>10790637</v>
      </c>
      <c r="K34">
        <f t="shared" ref="K34:L34" si="71">J34/1024</f>
        <v>10537.7314453125</v>
      </c>
      <c r="L34">
        <f t="shared" si="71"/>
        <v>10.290753364562988</v>
      </c>
      <c r="N34">
        <f t="shared" si="4"/>
        <v>16.954587389048488</v>
      </c>
      <c r="O34">
        <f t="shared" si="5"/>
        <v>16.954587389048488</v>
      </c>
      <c r="P34">
        <f t="shared" si="6"/>
        <v>16.954587389048488</v>
      </c>
      <c r="R34">
        <f t="shared" si="7"/>
        <v>5.898108736317182E-2</v>
      </c>
      <c r="S34">
        <f t="shared" si="8"/>
        <v>5.898108736317182E-2</v>
      </c>
      <c r="T34">
        <f t="shared" si="9"/>
        <v>5.898108736317182E-2</v>
      </c>
    </row>
    <row r="35" spans="1:20" x14ac:dyDescent="0.35">
      <c r="A35" t="s">
        <v>70</v>
      </c>
      <c r="B35">
        <v>183087258</v>
      </c>
      <c r="C35" t="s">
        <v>71</v>
      </c>
      <c r="D35">
        <v>10785925</v>
      </c>
      <c r="F35">
        <f t="shared" si="0"/>
        <v>183087258</v>
      </c>
      <c r="G35">
        <f t="shared" ref="G35:H35" si="72">F35/1024</f>
        <v>178796.150390625</v>
      </c>
      <c r="H35">
        <f t="shared" si="72"/>
        <v>174.60561561584473</v>
      </c>
      <c r="J35">
        <f t="shared" si="2"/>
        <v>10785925</v>
      </c>
      <c r="K35">
        <f t="shared" ref="K35:L35" si="73">J35/1024</f>
        <v>10533.1298828125</v>
      </c>
      <c r="L35">
        <f t="shared" si="73"/>
        <v>10.286259651184082</v>
      </c>
      <c r="N35">
        <f t="shared" si="4"/>
        <v>16.974645939036289</v>
      </c>
      <c r="O35">
        <f t="shared" si="5"/>
        <v>16.974645939036289</v>
      </c>
      <c r="P35">
        <f t="shared" si="6"/>
        <v>16.974645939036289</v>
      </c>
      <c r="R35">
        <f t="shared" si="7"/>
        <v>5.8911390764287926E-2</v>
      </c>
      <c r="S35">
        <f t="shared" si="8"/>
        <v>5.8911390764287926E-2</v>
      </c>
      <c r="T35">
        <f t="shared" si="9"/>
        <v>5.8911390764287926E-2</v>
      </c>
    </row>
    <row r="36" spans="1:20" x14ac:dyDescent="0.35">
      <c r="A36" t="s">
        <v>72</v>
      </c>
      <c r="B36">
        <v>183160007</v>
      </c>
      <c r="C36" t="s">
        <v>73</v>
      </c>
      <c r="D36">
        <v>10787168</v>
      </c>
      <c r="F36">
        <f t="shared" si="0"/>
        <v>183160007</v>
      </c>
      <c r="G36">
        <f t="shared" ref="G36:H36" si="74">F36/1024</f>
        <v>178867.1943359375</v>
      </c>
      <c r="H36">
        <f t="shared" si="74"/>
        <v>174.67499446868896</v>
      </c>
      <c r="J36">
        <f t="shared" si="2"/>
        <v>10787168</v>
      </c>
      <c r="K36">
        <f t="shared" ref="K36:L36" si="75">J36/1024</f>
        <v>10534.34375</v>
      </c>
      <c r="L36">
        <f t="shared" si="75"/>
        <v>10.287445068359375</v>
      </c>
      <c r="N36">
        <f t="shared" si="4"/>
        <v>16.979433990459775</v>
      </c>
      <c r="O36">
        <f t="shared" si="5"/>
        <v>16.979433990459775</v>
      </c>
      <c r="P36">
        <f t="shared" si="6"/>
        <v>16.979433990459775</v>
      </c>
      <c r="R36">
        <f t="shared" si="7"/>
        <v>5.8894778268926362E-2</v>
      </c>
      <c r="S36">
        <f t="shared" si="8"/>
        <v>5.8894778268926362E-2</v>
      </c>
      <c r="T36">
        <f t="shared" si="9"/>
        <v>5.8894778268926362E-2</v>
      </c>
    </row>
    <row r="37" spans="1:20" x14ac:dyDescent="0.35">
      <c r="A37" t="s">
        <v>74</v>
      </c>
      <c r="B37">
        <v>182891179</v>
      </c>
      <c r="C37" t="s">
        <v>75</v>
      </c>
      <c r="D37">
        <v>10785817</v>
      </c>
      <c r="F37">
        <f t="shared" si="0"/>
        <v>182891179</v>
      </c>
      <c r="G37">
        <f t="shared" ref="G37:H37" si="76">F37/1024</f>
        <v>178604.6669921875</v>
      </c>
      <c r="H37">
        <f t="shared" si="76"/>
        <v>174.41862010955811</v>
      </c>
      <c r="J37">
        <f t="shared" si="2"/>
        <v>10785817</v>
      </c>
      <c r="K37">
        <f t="shared" ref="K37:L37" si="77">J37/1024</f>
        <v>10533.0244140625</v>
      </c>
      <c r="L37">
        <f t="shared" si="77"/>
        <v>10.28615665435791</v>
      </c>
      <c r="N37">
        <f t="shared" si="4"/>
        <v>16.956636571898077</v>
      </c>
      <c r="O37">
        <f t="shared" si="5"/>
        <v>16.956636571898077</v>
      </c>
      <c r="P37">
        <f t="shared" si="6"/>
        <v>16.956636571898077</v>
      </c>
      <c r="R37">
        <f t="shared" si="7"/>
        <v>5.8973959591566739E-2</v>
      </c>
      <c r="S37">
        <f t="shared" si="8"/>
        <v>5.8973959591566739E-2</v>
      </c>
      <c r="T37">
        <f t="shared" si="9"/>
        <v>5.8973959591566739E-2</v>
      </c>
    </row>
    <row r="38" spans="1:20" x14ac:dyDescent="0.35">
      <c r="A38" t="s">
        <v>76</v>
      </c>
      <c r="B38">
        <v>183451562</v>
      </c>
      <c r="C38" t="s">
        <v>77</v>
      </c>
      <c r="D38">
        <v>10755008</v>
      </c>
      <c r="F38">
        <f t="shared" si="0"/>
        <v>183451562</v>
      </c>
      <c r="G38">
        <f t="shared" ref="G38:H38" si="78">F38/1024</f>
        <v>179151.916015625</v>
      </c>
      <c r="H38">
        <f t="shared" si="78"/>
        <v>174.95304298400879</v>
      </c>
      <c r="J38">
        <f t="shared" si="2"/>
        <v>10755008</v>
      </c>
      <c r="K38">
        <f t="shared" ref="K38:L38" si="79">J38/1024</f>
        <v>10502.9375</v>
      </c>
      <c r="L38">
        <f t="shared" si="79"/>
        <v>10.25677490234375</v>
      </c>
      <c r="N38">
        <f t="shared" si="4"/>
        <v>17.05731525257815</v>
      </c>
      <c r="O38">
        <f t="shared" si="5"/>
        <v>17.05731525257815</v>
      </c>
      <c r="P38">
        <f t="shared" si="6"/>
        <v>17.05731525257815</v>
      </c>
      <c r="R38">
        <f t="shared" si="7"/>
        <v>5.8625873133748514E-2</v>
      </c>
      <c r="S38">
        <f t="shared" si="8"/>
        <v>5.8625873133748514E-2</v>
      </c>
      <c r="T38">
        <f t="shared" si="9"/>
        <v>5.8625873133748514E-2</v>
      </c>
    </row>
    <row r="39" spans="1:20" x14ac:dyDescent="0.35">
      <c r="A39" t="s">
        <v>78</v>
      </c>
      <c r="B39">
        <v>182922198</v>
      </c>
      <c r="C39" t="s">
        <v>79</v>
      </c>
      <c r="D39">
        <v>10763350</v>
      </c>
      <c r="F39">
        <f t="shared" si="0"/>
        <v>182922198</v>
      </c>
      <c r="G39">
        <f t="shared" ref="G39:H39" si="80">F39/1024</f>
        <v>178634.958984375</v>
      </c>
      <c r="H39">
        <f t="shared" si="80"/>
        <v>174.44820213317871</v>
      </c>
      <c r="J39">
        <f t="shared" si="2"/>
        <v>10763350</v>
      </c>
      <c r="K39">
        <f t="shared" ref="K39:L39" si="81">J39/1024</f>
        <v>10511.083984375</v>
      </c>
      <c r="L39">
        <f t="shared" si="81"/>
        <v>10.264730453491211</v>
      </c>
      <c r="N39">
        <f t="shared" si="4"/>
        <v>16.994913107907855</v>
      </c>
      <c r="O39">
        <f t="shared" si="5"/>
        <v>16.994913107907855</v>
      </c>
      <c r="P39">
        <f t="shared" si="6"/>
        <v>16.994913107907855</v>
      </c>
      <c r="R39">
        <f t="shared" si="7"/>
        <v>5.8841136383021159E-2</v>
      </c>
      <c r="S39">
        <f t="shared" si="8"/>
        <v>5.8841136383021159E-2</v>
      </c>
      <c r="T39">
        <f t="shared" si="9"/>
        <v>5.8841136383021159E-2</v>
      </c>
    </row>
    <row r="40" spans="1:20" x14ac:dyDescent="0.35">
      <c r="A40" t="s">
        <v>80</v>
      </c>
      <c r="B40">
        <v>183009546</v>
      </c>
      <c r="C40" t="s">
        <v>81</v>
      </c>
      <c r="D40">
        <v>10765481</v>
      </c>
      <c r="F40">
        <f t="shared" si="0"/>
        <v>183009546</v>
      </c>
      <c r="G40">
        <f t="shared" ref="G40:H40" si="82">F40/1024</f>
        <v>178720.259765625</v>
      </c>
      <c r="H40">
        <f t="shared" si="82"/>
        <v>174.53150367736816</v>
      </c>
      <c r="J40">
        <f t="shared" si="2"/>
        <v>10765481</v>
      </c>
      <c r="K40">
        <f t="shared" ref="K40:L40" si="83">J40/1024</f>
        <v>10513.1650390625</v>
      </c>
      <c r="L40">
        <f t="shared" si="83"/>
        <v>10.266762733459473</v>
      </c>
      <c r="N40">
        <f t="shared" si="4"/>
        <v>16.9996627182752</v>
      </c>
      <c r="O40">
        <f t="shared" si="5"/>
        <v>16.9996627182752</v>
      </c>
      <c r="P40">
        <f t="shared" si="6"/>
        <v>16.9996627182752</v>
      </c>
      <c r="R40">
        <f t="shared" si="7"/>
        <v>5.8824696499711553E-2</v>
      </c>
      <c r="S40">
        <f t="shared" si="8"/>
        <v>5.8824696499711553E-2</v>
      </c>
      <c r="T40">
        <f t="shared" si="9"/>
        <v>5.8824696499711553E-2</v>
      </c>
    </row>
    <row r="41" spans="1:20" x14ac:dyDescent="0.35">
      <c r="A41" t="s">
        <v>82</v>
      </c>
      <c r="B41">
        <v>182630344</v>
      </c>
      <c r="C41" t="s">
        <v>83</v>
      </c>
      <c r="D41">
        <v>10755923</v>
      </c>
      <c r="F41">
        <f t="shared" si="0"/>
        <v>182630344</v>
      </c>
      <c r="G41">
        <f t="shared" ref="G41:H41" si="84">F41/1024</f>
        <v>178349.9453125</v>
      </c>
      <c r="H41">
        <f t="shared" si="84"/>
        <v>174.16986846923828</v>
      </c>
      <c r="J41">
        <f t="shared" si="2"/>
        <v>10755923</v>
      </c>
      <c r="K41">
        <f t="shared" ref="K41:L41" si="85">J41/1024</f>
        <v>10503.8310546875</v>
      </c>
      <c r="L41">
        <f t="shared" si="85"/>
        <v>10.257647514343262</v>
      </c>
      <c r="N41">
        <f t="shared" si="4"/>
        <v>16.97951389202024</v>
      </c>
      <c r="O41">
        <f t="shared" si="5"/>
        <v>16.97951389202024</v>
      </c>
      <c r="P41">
        <f t="shared" si="6"/>
        <v>16.97951389202024</v>
      </c>
      <c r="R41">
        <f t="shared" si="7"/>
        <v>5.8894501124084835E-2</v>
      </c>
      <c r="S41">
        <f t="shared" si="8"/>
        <v>5.8894501124084835E-2</v>
      </c>
      <c r="T41">
        <f t="shared" si="9"/>
        <v>5.8894501124084835E-2</v>
      </c>
    </row>
    <row r="42" spans="1:20" x14ac:dyDescent="0.35">
      <c r="A42" t="s">
        <v>84</v>
      </c>
      <c r="B42">
        <v>182626960</v>
      </c>
      <c r="C42" t="s">
        <v>85</v>
      </c>
      <c r="D42">
        <v>10759744</v>
      </c>
      <c r="F42">
        <f t="shared" si="0"/>
        <v>182626960</v>
      </c>
      <c r="G42">
        <f t="shared" ref="G42:H42" si="86">F42/1024</f>
        <v>178346.640625</v>
      </c>
      <c r="H42">
        <f t="shared" si="86"/>
        <v>174.16664123535156</v>
      </c>
      <c r="J42">
        <f t="shared" si="2"/>
        <v>10759744</v>
      </c>
      <c r="K42">
        <f t="shared" ref="K42:L42" si="87">J42/1024</f>
        <v>10507.5625</v>
      </c>
      <c r="L42">
        <f t="shared" si="87"/>
        <v>10.26129150390625</v>
      </c>
      <c r="N42">
        <f t="shared" si="4"/>
        <v>16.973169621879478</v>
      </c>
      <c r="O42">
        <f t="shared" si="5"/>
        <v>16.973169621879478</v>
      </c>
      <c r="P42">
        <f t="shared" si="6"/>
        <v>16.973169621879478</v>
      </c>
      <c r="R42">
        <f t="shared" si="7"/>
        <v>5.8916514845343756E-2</v>
      </c>
      <c r="S42">
        <f t="shared" si="8"/>
        <v>5.8916514845343756E-2</v>
      </c>
      <c r="T42">
        <f t="shared" si="9"/>
        <v>5.8916514845343756E-2</v>
      </c>
    </row>
    <row r="43" spans="1:20" x14ac:dyDescent="0.35">
      <c r="A43" t="s">
        <v>86</v>
      </c>
      <c r="B43">
        <v>182415713</v>
      </c>
      <c r="C43" t="s">
        <v>87</v>
      </c>
      <c r="D43">
        <v>10768827</v>
      </c>
      <c r="F43">
        <f t="shared" si="0"/>
        <v>182415713</v>
      </c>
      <c r="G43">
        <f t="shared" ref="G43:H43" si="88">F43/1024</f>
        <v>178140.3447265625</v>
      </c>
      <c r="H43">
        <f t="shared" si="88"/>
        <v>173.96518039703369</v>
      </c>
      <c r="J43">
        <f t="shared" si="2"/>
        <v>10768827</v>
      </c>
      <c r="K43">
        <f t="shared" ref="K43:L43" si="89">J43/1024</f>
        <v>10516.4326171875</v>
      </c>
      <c r="L43">
        <f t="shared" si="89"/>
        <v>10.269953727722168</v>
      </c>
      <c r="N43">
        <f t="shared" si="4"/>
        <v>16.93923702182234</v>
      </c>
      <c r="O43">
        <f t="shared" si="5"/>
        <v>16.93923702182234</v>
      </c>
      <c r="P43">
        <f t="shared" si="6"/>
        <v>16.93923702182234</v>
      </c>
      <c r="R43">
        <f t="shared" si="7"/>
        <v>5.9034536131215842E-2</v>
      </c>
      <c r="S43">
        <f t="shared" si="8"/>
        <v>5.9034536131215842E-2</v>
      </c>
      <c r="T43">
        <f t="shared" si="9"/>
        <v>5.9034536131215842E-2</v>
      </c>
    </row>
    <row r="44" spans="1:20" x14ac:dyDescent="0.35">
      <c r="A44" t="s">
        <v>88</v>
      </c>
      <c r="B44">
        <v>182231969</v>
      </c>
      <c r="C44" t="s">
        <v>89</v>
      </c>
      <c r="D44">
        <v>10771001</v>
      </c>
      <c r="F44">
        <f t="shared" si="0"/>
        <v>182231969</v>
      </c>
      <c r="G44">
        <f t="shared" ref="G44:H44" si="90">F44/1024</f>
        <v>177960.9072265625</v>
      </c>
      <c r="H44">
        <f t="shared" si="90"/>
        <v>173.78994846343994</v>
      </c>
      <c r="J44">
        <f t="shared" si="2"/>
        <v>10771001</v>
      </c>
      <c r="K44">
        <f t="shared" ref="K44:L44" si="91">J44/1024</f>
        <v>10518.5556640625</v>
      </c>
      <c r="L44">
        <f t="shared" si="91"/>
        <v>10.272027015686035</v>
      </c>
      <c r="N44">
        <f t="shared" si="4"/>
        <v>16.91875889715357</v>
      </c>
      <c r="O44">
        <f t="shared" si="5"/>
        <v>16.91875889715357</v>
      </c>
      <c r="P44">
        <f t="shared" si="6"/>
        <v>16.91875889715357</v>
      </c>
      <c r="R44">
        <f t="shared" si="7"/>
        <v>5.9105990343549436E-2</v>
      </c>
      <c r="S44">
        <f t="shared" si="8"/>
        <v>5.9105990343549436E-2</v>
      </c>
      <c r="T44">
        <f t="shared" si="9"/>
        <v>5.9105990343549436E-2</v>
      </c>
    </row>
    <row r="45" spans="1:20" x14ac:dyDescent="0.35">
      <c r="N45">
        <f>AVERAGE(N2:N44)</f>
        <v>16.962981472878344</v>
      </c>
      <c r="R45">
        <f>AVERAGE(R2:R44)</f>
        <v>5.8952041926436383E-2</v>
      </c>
    </row>
    <row r="46" spans="1:20" x14ac:dyDescent="0.35">
      <c r="N46">
        <f>100-N45</f>
        <v>83.03701852712166</v>
      </c>
      <c r="R46">
        <f>100-R45</f>
        <v>99.941047958073568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size_log_20251207_234027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Chidansh Mehta</cp:lastModifiedBy>
  <dcterms:created xsi:type="dcterms:W3CDTF">2025-12-08T09:25:30Z</dcterms:created>
  <dcterms:modified xsi:type="dcterms:W3CDTF">2025-12-08T09:30:53Z</dcterms:modified>
</cp:coreProperties>
</file>